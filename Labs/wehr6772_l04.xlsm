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231" codeName="{E757BCB4-07E6-AE0B-56E0-F0EEF7A6E26C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tyler\OneDrive\Documents\CP212\"/>
    </mc:Choice>
  </mc:AlternateContent>
  <xr:revisionPtr revIDLastSave="0" documentId="13_ncr:1_{C8BA6109-F1C8-4EA3-89E9-70A88DF169EE}" xr6:coauthVersionLast="47" xr6:coauthVersionMax="47" xr10:uidLastSave="{00000000-0000-0000-0000-000000000000}"/>
  <bookViews>
    <workbookView xWindow="-108" yWindow="-108" windowWidth="23256" windowHeight="13896" activeTab="4" xr2:uid="{F3098ABB-AEAD-4EE5-8BB8-58EB8D82D299}"/>
  </bookViews>
  <sheets>
    <sheet name="Quarter 1" sheetId="1" r:id="rId1"/>
    <sheet name="Quarter 2" sheetId="2" r:id="rId2"/>
    <sheet name="Quarter 3" sheetId="3" r:id="rId3"/>
    <sheet name="Quarter 4" sheetId="4" r:id="rId4"/>
    <sheet name="RF1" sheetId="28" r:id="rId5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D17" i="4" l="1"/>
  <c r="C17" i="4"/>
  <c r="B17" i="4"/>
  <c r="H15" i="4"/>
  <c r="G15" i="4"/>
  <c r="F15" i="4"/>
  <c r="H14" i="4"/>
  <c r="G14" i="4"/>
  <c r="F14" i="4"/>
  <c r="H13" i="4"/>
  <c r="G13" i="4"/>
  <c r="F13" i="4"/>
  <c r="H12" i="4"/>
  <c r="G12" i="4"/>
  <c r="F12" i="4"/>
  <c r="H11" i="4"/>
  <c r="G11" i="4"/>
  <c r="F11" i="4"/>
  <c r="H10" i="4"/>
  <c r="G10" i="4"/>
  <c r="F10" i="4"/>
  <c r="H9" i="4"/>
  <c r="G9" i="4"/>
  <c r="F9" i="4"/>
  <c r="H8" i="4"/>
  <c r="G8" i="4"/>
  <c r="F8" i="4"/>
  <c r="H7" i="4"/>
  <c r="G7" i="4"/>
  <c r="F7" i="4"/>
  <c r="H6" i="4"/>
  <c r="G6" i="4"/>
  <c r="F6" i="4"/>
  <c r="H5" i="4"/>
  <c r="G5" i="4"/>
  <c r="F5" i="4"/>
  <c r="H4" i="4"/>
  <c r="G4" i="4"/>
  <c r="F4" i="4"/>
  <c r="H3" i="4"/>
  <c r="G3" i="4"/>
  <c r="F3" i="4"/>
  <c r="D17" i="3"/>
  <c r="C17" i="3"/>
  <c r="B17" i="3"/>
  <c r="H15" i="3"/>
  <c r="G15" i="3"/>
  <c r="F15" i="3"/>
  <c r="H14" i="3"/>
  <c r="G14" i="3"/>
  <c r="F14" i="3"/>
  <c r="H13" i="3"/>
  <c r="G13" i="3"/>
  <c r="F13" i="3"/>
  <c r="H12" i="3"/>
  <c r="G12" i="3"/>
  <c r="F12" i="3"/>
  <c r="H11" i="3"/>
  <c r="G11" i="3"/>
  <c r="F11" i="3"/>
  <c r="H10" i="3"/>
  <c r="G10" i="3"/>
  <c r="F10" i="3"/>
  <c r="H9" i="3"/>
  <c r="G9" i="3"/>
  <c r="F9" i="3"/>
  <c r="H8" i="3"/>
  <c r="G8" i="3"/>
  <c r="F8" i="3"/>
  <c r="H7" i="3"/>
  <c r="G7" i="3"/>
  <c r="F7" i="3"/>
  <c r="H6" i="3"/>
  <c r="G6" i="3"/>
  <c r="F6" i="3"/>
  <c r="H5" i="3"/>
  <c r="G5" i="3"/>
  <c r="F5" i="3"/>
  <c r="H4" i="3"/>
  <c r="G4" i="3"/>
  <c r="F4" i="3"/>
  <c r="H3" i="3"/>
  <c r="G3" i="3"/>
  <c r="F3" i="3"/>
  <c r="D17" i="2"/>
  <c r="C17" i="2"/>
  <c r="B17" i="2"/>
  <c r="H15" i="2"/>
  <c r="G15" i="2"/>
  <c r="F15" i="2"/>
  <c r="H14" i="2"/>
  <c r="G14" i="2"/>
  <c r="F14" i="2"/>
  <c r="H13" i="2"/>
  <c r="G13" i="2"/>
  <c r="F13" i="2"/>
  <c r="H12" i="2"/>
  <c r="G12" i="2"/>
  <c r="F12" i="2"/>
  <c r="H11" i="2"/>
  <c r="G11" i="2"/>
  <c r="F11" i="2"/>
  <c r="H10" i="2"/>
  <c r="G10" i="2"/>
  <c r="F10" i="2"/>
  <c r="H9" i="2"/>
  <c r="G9" i="2"/>
  <c r="F9" i="2"/>
  <c r="H8" i="2"/>
  <c r="G8" i="2"/>
  <c r="F8" i="2"/>
  <c r="H7" i="2"/>
  <c r="G7" i="2"/>
  <c r="F7" i="2"/>
  <c r="H6" i="2"/>
  <c r="G6" i="2"/>
  <c r="F6" i="2"/>
  <c r="H5" i="2"/>
  <c r="G5" i="2"/>
  <c r="F5" i="2"/>
  <c r="H4" i="2"/>
  <c r="G4" i="2"/>
  <c r="F4" i="2"/>
  <c r="H3" i="2"/>
  <c r="G3" i="2"/>
  <c r="F3" i="2"/>
  <c r="C17" i="1"/>
  <c r="D17" i="1"/>
  <c r="B17" i="1"/>
  <c r="H4" i="1"/>
  <c r="H5" i="1"/>
  <c r="H6" i="1"/>
  <c r="H7" i="1"/>
  <c r="H8" i="1"/>
  <c r="H9" i="1"/>
  <c r="H10" i="1"/>
  <c r="H11" i="1"/>
  <c r="H12" i="1"/>
  <c r="H13" i="1"/>
  <c r="H14" i="1"/>
  <c r="H15" i="1"/>
  <c r="H3" i="1"/>
  <c r="G4" i="1"/>
  <c r="G5" i="1"/>
  <c r="G6" i="1"/>
  <c r="G7" i="1"/>
  <c r="G8" i="1"/>
  <c r="G9" i="1"/>
  <c r="G10" i="1"/>
  <c r="G11" i="1"/>
  <c r="G12" i="1"/>
  <c r="G13" i="1"/>
  <c r="G14" i="1"/>
  <c r="G15" i="1"/>
  <c r="G3" i="1"/>
  <c r="F4" i="1"/>
  <c r="F5" i="1"/>
  <c r="F6" i="1"/>
  <c r="F7" i="1"/>
  <c r="F8" i="1"/>
  <c r="F9" i="1"/>
  <c r="F10" i="1"/>
  <c r="F11" i="1"/>
  <c r="F12" i="1"/>
  <c r="F13" i="1"/>
  <c r="F14" i="1"/>
  <c r="F15" i="1"/>
  <c r="F3" i="1"/>
</calcChain>
</file>

<file path=xl/sharedStrings.xml><?xml version="1.0" encoding="utf-8"?>
<sst xmlns="http://schemas.openxmlformats.org/spreadsheetml/2006/main" count="259" uniqueCount="80">
  <si>
    <t>January</t>
  </si>
  <si>
    <t>February</t>
  </si>
  <si>
    <t>March</t>
  </si>
  <si>
    <t>Alberta</t>
  </si>
  <si>
    <t>British Columbia</t>
  </si>
  <si>
    <t>Manitoba</t>
  </si>
  <si>
    <t>New Brunswick</t>
  </si>
  <si>
    <t>Newfoundland and Labrador</t>
  </si>
  <si>
    <t>Northwest Territories</t>
  </si>
  <si>
    <t>Nova Scotia</t>
  </si>
  <si>
    <t>Nunavut</t>
  </si>
  <si>
    <t>Ontario</t>
  </si>
  <si>
    <t>Prince Edward Island</t>
  </si>
  <si>
    <t>Quebec</t>
  </si>
  <si>
    <t>Saskatchewan</t>
  </si>
  <si>
    <t>Yukon</t>
  </si>
  <si>
    <t xml:space="preserve">Province / Territory </t>
  </si>
  <si>
    <t>Sales in Quarter 1</t>
  </si>
  <si>
    <t>Average</t>
  </si>
  <si>
    <t>Maximum</t>
  </si>
  <si>
    <t>Minimum</t>
  </si>
  <si>
    <t xml:space="preserve">Total </t>
  </si>
  <si>
    <t>Sales in Quarter 2</t>
  </si>
  <si>
    <t>April</t>
  </si>
  <si>
    <t>May</t>
  </si>
  <si>
    <t>June</t>
  </si>
  <si>
    <t>Sales in Quarter 3</t>
  </si>
  <si>
    <t>July</t>
  </si>
  <si>
    <t>August</t>
  </si>
  <si>
    <t>September</t>
  </si>
  <si>
    <t>October</t>
  </si>
  <si>
    <t>November</t>
  </si>
  <si>
    <t>December</t>
  </si>
  <si>
    <t>Sales in Quarter 4</t>
  </si>
  <si>
    <t>=AVERAGE(B3:D3)</t>
  </si>
  <si>
    <t>=MAX(B3:D3)</t>
  </si>
  <si>
    <t>=MIN(B3:D3)</t>
  </si>
  <si>
    <t>=AVERAGE(B4:D4)</t>
  </si>
  <si>
    <t>=MAX(B4:D4)</t>
  </si>
  <si>
    <t>=MIN(B4:D4)</t>
  </si>
  <si>
    <t>=AVERAGE(B5:D5)</t>
  </si>
  <si>
    <t>=MAX(B5:D5)</t>
  </si>
  <si>
    <t>=MIN(B5:D5)</t>
  </si>
  <si>
    <t>=AVERAGE(B6:D6)</t>
  </si>
  <si>
    <t>=MAX(B6:D6)</t>
  </si>
  <si>
    <t>=MIN(B6:D6)</t>
  </si>
  <si>
    <t>=AVERAGE(B7:D7)</t>
  </si>
  <si>
    <t>=MAX(B7:D7)</t>
  </si>
  <si>
    <t>=MIN(B7:D7)</t>
  </si>
  <si>
    <t>=AVERAGE(B8:D8)</t>
  </si>
  <si>
    <t>=MAX(B8:D8)</t>
  </si>
  <si>
    <t>=MIN(B8:D8)</t>
  </si>
  <si>
    <t>=AVERAGE(B9:D9)</t>
  </si>
  <si>
    <t>=MAX(B9:D9)</t>
  </si>
  <si>
    <t>=MIN(B9:D9)</t>
  </si>
  <si>
    <t>=AVERAGE(B10:D10)</t>
  </si>
  <si>
    <t>=MAX(B10:D10)</t>
  </si>
  <si>
    <t>=MIN(B10:D10)</t>
  </si>
  <si>
    <t>=AVERAGE(B11:D11)</t>
  </si>
  <si>
    <t>=MAX(B11:D11)</t>
  </si>
  <si>
    <t>=MIN(B11:D11)</t>
  </si>
  <si>
    <t>=AVERAGE(B12:D12)</t>
  </si>
  <si>
    <t>=MAX(B12:D12)</t>
  </si>
  <si>
    <t>=MIN(B12:D12)</t>
  </si>
  <si>
    <t>=AVERAGE(B13:D13)</t>
  </si>
  <si>
    <t>=MAX(B13:D13)</t>
  </si>
  <si>
    <t>=MIN(B13:D13)</t>
  </si>
  <si>
    <t>=AVERAGE(B14:D14)</t>
  </si>
  <si>
    <t>=MAX(B14:D14)</t>
  </si>
  <si>
    <t>=MIN(B14:D14)</t>
  </si>
  <si>
    <t>=AVERAGE(B15:D15)</t>
  </si>
  <si>
    <t>=MAX(B15:D15)</t>
  </si>
  <si>
    <t>=MIN(B15:D15)</t>
  </si>
  <si>
    <t>=SUM(B3:B15)</t>
  </si>
  <si>
    <t>=SUM(C3:C15)</t>
  </si>
  <si>
    <t>=SUM(D3:D15)</t>
  </si>
  <si>
    <t>Worksheet</t>
  </si>
  <si>
    <t>Formula</t>
  </si>
  <si>
    <t>Value</t>
  </si>
  <si>
    <t>Quarter 1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</si>
</sst>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6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sz val="11"/>
      <color rgb="FF000000"/>
      <name val="Calibri"/>
      <family val="2"/>
    </font>
  </fonts>
  <fills count="5">
    <fill>
      <patternFill patternType="none"/>
    </fill>
    <fill>
      <patternFill patternType="gray125"/>
    </fill>
    <fill>
      <patternFill patternType="solid">
        <fgColor theme="7" tint="0.59996337778862885"/>
        <bgColor indexed="64"/>
      </patternFill>
    </fill>
    <fill>
      <patternFill patternType="solid">
        <fgColor theme="8" tint="0.39994506668294322"/>
        <bgColor indexed="64"/>
      </patternFill>
    </fill>
    <fill>
      <patternFill patternType="solid">
        <fgColor theme="9" tint="0.59996337778862885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2">
    <xf numFmtId="0" fontId="0" fillId="0" borderId="0" xfId="0"/>
    <xf numFmtId="0" fontId="1" fillId="0" borderId="0" xfId="0" applyFont="1" applyAlignment="1">
      <alignment horizontal="center"/>
    </xf>
    <xf numFmtId="0" fontId="3" fillId="3" borderId="0" xfId="0" applyFont="1" applyFill="1" applyAlignment="1">
      <alignment horizontal="center"/>
    </xf>
    <xf numFmtId="0" fontId="3" fillId="4" borderId="0" xfId="0" applyFont="1" applyFill="1" applyAlignment="1">
      <alignment horizontal="center"/>
    </xf>
    <xf numFmtId="0" fontId="3" fillId="0" borderId="0" xfId="0" applyFont="1" applyAlignment="1">
      <alignment horizontal="center"/>
    </xf>
    <xf numFmtId="0" fontId="4" fillId="3" borderId="0" xfId="0" applyFont="1" applyFill="1"/>
    <xf numFmtId="0" fontId="4" fillId="4" borderId="0" xfId="0" applyFont="1" applyFill="1"/>
    <xf numFmtId="0" fontId="4" fillId="0" borderId="0" xfId="0" applyFont="1"/>
    <xf numFmtId="0" fontId="3" fillId="0" borderId="0" xfId="0" applyFont="1" applyAlignment="1">
      <alignment horizontal="right"/>
    </xf>
    <xf numFmtId="0" fontId="0" fillId="0" borderId="0" xfId="0" quotePrefix="1"/>
    <xf numFmtId="0" fontId="1" fillId="0" borderId="0" xfId="0" applyFont="1"/>
    <xf numFmtId="0" fontId="2" fillId="2" borderId="0" xfId="0" applyFont="1" applyFill="1" applyAlignment="1">
      <alignment horizontal="center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190500</xdr:colOff>
          <xdr:row>3</xdr:row>
          <xdr:rowOff>144780</xdr:rowOff>
        </xdr:from>
        <xdr:to>
          <xdr:col>12</xdr:col>
          <xdr:colOff>350520</xdr:colOff>
          <xdr:row>7</xdr:row>
          <xdr:rowOff>38100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CA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Task 1-2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182880</xdr:colOff>
          <xdr:row>8</xdr:row>
          <xdr:rowOff>0</xdr:rowOff>
        </xdr:from>
        <xdr:to>
          <xdr:col>12</xdr:col>
          <xdr:colOff>342900</xdr:colOff>
          <xdr:row>11</xdr:row>
          <xdr:rowOff>91440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CA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Task 3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2013 - 2022 Theme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FBBDC17-8C18-4A07-87D8-80016667FDF9}">
  <sheetPr codeName="Sheet1"/>
  <dimension ref="A1:H17"/>
  <sheetViews>
    <sheetView workbookViewId="0">
      <selection activeCell="F13" sqref="F13"/>
    </sheetView>
  </sheetViews>
  <sheetFormatPr defaultRowHeight="14.4" x14ac:dyDescent="0.3"/>
  <cols>
    <col min="1" max="1" width="26.6640625" customWidth="1"/>
    <col min="6" max="6" width="11.109375" customWidth="1"/>
    <col min="7" max="7" width="9.77734375" customWidth="1"/>
    <col min="8" max="8" width="9.88671875" customWidth="1"/>
  </cols>
  <sheetData>
    <row r="1" spans="1:8" ht="18" x14ac:dyDescent="0.35">
      <c r="A1" s="11" t="s">
        <v>17</v>
      </c>
      <c r="B1" s="11"/>
      <c r="C1" s="11"/>
      <c r="D1" s="11"/>
    </row>
    <row r="2" spans="1:8" s="1" customFormat="1" ht="15.6" x14ac:dyDescent="0.3">
      <c r="A2" s="2" t="s">
        <v>16</v>
      </c>
      <c r="B2" s="3" t="s">
        <v>0</v>
      </c>
      <c r="C2" s="3" t="s">
        <v>1</v>
      </c>
      <c r="D2" s="3" t="s">
        <v>2</v>
      </c>
      <c r="E2" s="4"/>
      <c r="F2" s="4" t="s">
        <v>18</v>
      </c>
      <c r="G2" s="4" t="s">
        <v>19</v>
      </c>
      <c r="H2" s="4" t="s">
        <v>20</v>
      </c>
    </row>
    <row r="3" spans="1:8" ht="15.6" x14ac:dyDescent="0.3">
      <c r="A3" s="5" t="s">
        <v>3</v>
      </c>
      <c r="B3" s="6">
        <v>148</v>
      </c>
      <c r="C3" s="6">
        <v>328</v>
      </c>
      <c r="D3" s="6">
        <v>412</v>
      </c>
      <c r="E3" s="7"/>
      <c r="F3" s="7">
        <f>AVERAGE(B3:D3)</f>
        <v>296</v>
      </c>
      <c r="G3" s="7">
        <f>MAX(B3:D3)</f>
        <v>412</v>
      </c>
      <c r="H3" s="7">
        <f>MIN(B3:D3)</f>
        <v>148</v>
      </c>
    </row>
    <row r="4" spans="1:8" ht="15.6" x14ac:dyDescent="0.3">
      <c r="A4" s="5" t="s">
        <v>4</v>
      </c>
      <c r="B4" s="6">
        <v>222</v>
      </c>
      <c r="C4" s="6">
        <v>369</v>
      </c>
      <c r="D4" s="6">
        <v>411</v>
      </c>
      <c r="E4" s="7"/>
      <c r="F4" s="7">
        <f t="shared" ref="F4:F15" si="0">AVERAGE(B4:D4)</f>
        <v>334</v>
      </c>
      <c r="G4" s="7">
        <f t="shared" ref="G4:G15" si="1">MAX(B4:D4)</f>
        <v>411</v>
      </c>
      <c r="H4" s="7">
        <f t="shared" ref="H4:H15" si="2">MIN(B4:D4)</f>
        <v>222</v>
      </c>
    </row>
    <row r="5" spans="1:8" ht="15.6" x14ac:dyDescent="0.3">
      <c r="A5" s="5" t="s">
        <v>5</v>
      </c>
      <c r="B5" s="6">
        <v>412</v>
      </c>
      <c r="C5" s="6">
        <v>528</v>
      </c>
      <c r="D5" s="6">
        <v>224</v>
      </c>
      <c r="E5" s="7"/>
      <c r="F5" s="7">
        <f t="shared" si="0"/>
        <v>388</v>
      </c>
      <c r="G5" s="7">
        <f t="shared" si="1"/>
        <v>528</v>
      </c>
      <c r="H5" s="7">
        <f t="shared" si="2"/>
        <v>224</v>
      </c>
    </row>
    <row r="6" spans="1:8" ht="15.6" x14ac:dyDescent="0.3">
      <c r="A6" s="5" t="s">
        <v>6</v>
      </c>
      <c r="B6" s="6">
        <v>78</v>
      </c>
      <c r="C6" s="6">
        <v>128</v>
      </c>
      <c r="D6" s="6">
        <v>954</v>
      </c>
      <c r="E6" s="7"/>
      <c r="F6" s="7">
        <f t="shared" si="0"/>
        <v>386.66666666666669</v>
      </c>
      <c r="G6" s="7">
        <f t="shared" si="1"/>
        <v>954</v>
      </c>
      <c r="H6" s="7">
        <f t="shared" si="2"/>
        <v>78</v>
      </c>
    </row>
    <row r="7" spans="1:8" ht="15.6" x14ac:dyDescent="0.3">
      <c r="A7" s="5" t="s">
        <v>7</v>
      </c>
      <c r="B7" s="6">
        <v>48</v>
      </c>
      <c r="C7" s="6">
        <v>215</v>
      </c>
      <c r="D7" s="6">
        <v>327</v>
      </c>
      <c r="E7" s="7"/>
      <c r="F7" s="7">
        <f t="shared" si="0"/>
        <v>196.66666666666666</v>
      </c>
      <c r="G7" s="7">
        <f t="shared" si="1"/>
        <v>327</v>
      </c>
      <c r="H7" s="7">
        <f t="shared" si="2"/>
        <v>48</v>
      </c>
    </row>
    <row r="8" spans="1:8" ht="15.6" x14ac:dyDescent="0.3">
      <c r="A8" s="5" t="s">
        <v>8</v>
      </c>
      <c r="B8" s="6">
        <v>58</v>
      </c>
      <c r="C8" s="6">
        <v>98</v>
      </c>
      <c r="D8" s="6">
        <v>214</v>
      </c>
      <c r="E8" s="7"/>
      <c r="F8" s="7">
        <f t="shared" si="0"/>
        <v>123.33333333333333</v>
      </c>
      <c r="G8" s="7">
        <f t="shared" si="1"/>
        <v>214</v>
      </c>
      <c r="H8" s="7">
        <f t="shared" si="2"/>
        <v>58</v>
      </c>
    </row>
    <row r="9" spans="1:8" ht="15.6" x14ac:dyDescent="0.3">
      <c r="A9" s="5" t="s">
        <v>9</v>
      </c>
      <c r="B9" s="6">
        <v>325</v>
      </c>
      <c r="C9" s="6">
        <v>257</v>
      </c>
      <c r="D9" s="6">
        <v>512</v>
      </c>
      <c r="E9" s="7"/>
      <c r="F9" s="7">
        <f t="shared" si="0"/>
        <v>364.66666666666669</v>
      </c>
      <c r="G9" s="7">
        <f t="shared" si="1"/>
        <v>512</v>
      </c>
      <c r="H9" s="7">
        <f t="shared" si="2"/>
        <v>257</v>
      </c>
    </row>
    <row r="10" spans="1:8" ht="15.6" x14ac:dyDescent="0.3">
      <c r="A10" s="5" t="s">
        <v>10</v>
      </c>
      <c r="B10" s="6">
        <v>122</v>
      </c>
      <c r="C10" s="6">
        <v>928</v>
      </c>
      <c r="D10" s="6">
        <v>314</v>
      </c>
      <c r="E10" s="7"/>
      <c r="F10" s="7">
        <f t="shared" si="0"/>
        <v>454.66666666666669</v>
      </c>
      <c r="G10" s="7">
        <f t="shared" si="1"/>
        <v>928</v>
      </c>
      <c r="H10" s="7">
        <f t="shared" si="2"/>
        <v>122</v>
      </c>
    </row>
    <row r="11" spans="1:8" ht="15.6" x14ac:dyDescent="0.3">
      <c r="A11" s="5" t="s">
        <v>11</v>
      </c>
      <c r="B11" s="6">
        <v>854</v>
      </c>
      <c r="C11" s="6">
        <v>1088</v>
      </c>
      <c r="D11" s="6">
        <v>999</v>
      </c>
      <c r="E11" s="7"/>
      <c r="F11" s="7">
        <f t="shared" si="0"/>
        <v>980.33333333333337</v>
      </c>
      <c r="G11" s="7">
        <f t="shared" si="1"/>
        <v>1088</v>
      </c>
      <c r="H11" s="7">
        <f t="shared" si="2"/>
        <v>854</v>
      </c>
    </row>
    <row r="12" spans="1:8" ht="15.6" x14ac:dyDescent="0.3">
      <c r="A12" s="5" t="s">
        <v>12</v>
      </c>
      <c r="B12" s="6">
        <v>678</v>
      </c>
      <c r="C12" s="6">
        <v>545</v>
      </c>
      <c r="D12" s="6">
        <v>821</v>
      </c>
      <c r="E12" s="7"/>
      <c r="F12" s="7">
        <f t="shared" si="0"/>
        <v>681.33333333333337</v>
      </c>
      <c r="G12" s="7">
        <f t="shared" si="1"/>
        <v>821</v>
      </c>
      <c r="H12" s="7">
        <f t="shared" si="2"/>
        <v>545</v>
      </c>
    </row>
    <row r="13" spans="1:8" ht="15.6" x14ac:dyDescent="0.3">
      <c r="A13" s="5" t="s">
        <v>13</v>
      </c>
      <c r="B13" s="6">
        <v>888</v>
      </c>
      <c r="C13" s="6">
        <v>986</v>
      </c>
      <c r="D13" s="6">
        <v>1077</v>
      </c>
      <c r="E13" s="7"/>
      <c r="F13" s="7">
        <f t="shared" si="0"/>
        <v>983.66666666666663</v>
      </c>
      <c r="G13" s="7">
        <f t="shared" si="1"/>
        <v>1077</v>
      </c>
      <c r="H13" s="7">
        <f t="shared" si="2"/>
        <v>888</v>
      </c>
    </row>
    <row r="14" spans="1:8" ht="15.6" x14ac:dyDescent="0.3">
      <c r="A14" s="5" t="s">
        <v>14</v>
      </c>
      <c r="B14" s="6">
        <v>423</v>
      </c>
      <c r="C14" s="6">
        <v>562</v>
      </c>
      <c r="D14" s="6">
        <v>222</v>
      </c>
      <c r="E14" s="7"/>
      <c r="F14" s="7">
        <f t="shared" si="0"/>
        <v>402.33333333333331</v>
      </c>
      <c r="G14" s="7">
        <f t="shared" si="1"/>
        <v>562</v>
      </c>
      <c r="H14" s="7">
        <f t="shared" si="2"/>
        <v>222</v>
      </c>
    </row>
    <row r="15" spans="1:8" ht="15.6" x14ac:dyDescent="0.3">
      <c r="A15" s="5" t="s">
        <v>15</v>
      </c>
      <c r="B15" s="6">
        <v>123</v>
      </c>
      <c r="C15" s="6">
        <v>225</v>
      </c>
      <c r="D15" s="6">
        <v>328</v>
      </c>
      <c r="E15" s="7"/>
      <c r="F15" s="7">
        <f t="shared" si="0"/>
        <v>225.33333333333334</v>
      </c>
      <c r="G15" s="7">
        <f t="shared" si="1"/>
        <v>328</v>
      </c>
      <c r="H15" s="7">
        <f t="shared" si="2"/>
        <v>123</v>
      </c>
    </row>
    <row r="16" spans="1:8" ht="15.6" x14ac:dyDescent="0.3">
      <c r="A16" s="7"/>
      <c r="B16" s="7"/>
      <c r="C16" s="7"/>
      <c r="D16" s="7"/>
      <c r="E16" s="7"/>
      <c r="F16" s="7"/>
      <c r="G16" s="7"/>
      <c r="H16" s="7"/>
    </row>
    <row r="17" spans="1:8" ht="15.6" x14ac:dyDescent="0.3">
      <c r="A17" s="8" t="s">
        <v>21</v>
      </c>
      <c r="B17" s="7">
        <f>SUM(B3:B15)</f>
        <v>4379</v>
      </c>
      <c r="C17" s="7">
        <f t="shared" ref="C17:D17" si="3">SUM(C3:C15)</f>
        <v>6257</v>
      </c>
      <c r="D17" s="7">
        <f t="shared" si="3"/>
        <v>6815</v>
      </c>
      <c r="E17" s="7"/>
      <c r="F17" s="7"/>
      <c r="G17" s="7"/>
      <c r="H17" s="7"/>
    </row>
  </sheetData>
  <mergeCells count="1">
    <mergeCell ref="A1:D1"/>
  </mergeCells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Task1_2.Task1_2">
                <anchor moveWithCells="1" sizeWithCells="1">
                  <from>
                    <xdr:col>9</xdr:col>
                    <xdr:colOff>190500</xdr:colOff>
                    <xdr:row>3</xdr:row>
                    <xdr:rowOff>144780</xdr:rowOff>
                  </from>
                  <to>
                    <xdr:col>12</xdr:col>
                    <xdr:colOff>350520</xdr:colOff>
                    <xdr:row>7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5" name="Button 2">
              <controlPr defaultSize="0" print="0" autoFill="0" autoPict="0" macro="[0]!Task3.Task3">
                <anchor moveWithCells="1" sizeWithCells="1">
                  <from>
                    <xdr:col>9</xdr:col>
                    <xdr:colOff>182880</xdr:colOff>
                    <xdr:row>8</xdr:row>
                    <xdr:rowOff>0</xdr:rowOff>
                  </from>
                  <to>
                    <xdr:col>12</xdr:col>
                    <xdr:colOff>342900</xdr:colOff>
                    <xdr:row>11</xdr:row>
                    <xdr:rowOff>91440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BE926C3-435E-4931-9589-2938D71076BC}">
  <sheetPr codeName="Sheet2"/>
  <dimension ref="A1:H17"/>
  <sheetViews>
    <sheetView workbookViewId="0">
      <selection activeCell="E23" sqref="E23"/>
    </sheetView>
  </sheetViews>
  <sheetFormatPr defaultRowHeight="14.4" x14ac:dyDescent="0.3"/>
  <cols>
    <col min="1" max="1" width="31.77734375" customWidth="1"/>
    <col min="7" max="7" width="10.88671875" customWidth="1"/>
    <col min="8" max="8" width="10.33203125" customWidth="1"/>
  </cols>
  <sheetData>
    <row r="1" spans="1:8" ht="18" x14ac:dyDescent="0.35">
      <c r="A1" s="11" t="s">
        <v>22</v>
      </c>
      <c r="B1" s="11"/>
      <c r="C1" s="11"/>
      <c r="D1" s="11"/>
    </row>
    <row r="2" spans="1:8" ht="15.6" x14ac:dyDescent="0.3">
      <c r="A2" s="2" t="s">
        <v>16</v>
      </c>
      <c r="B2" s="3" t="s">
        <v>23</v>
      </c>
      <c r="C2" s="3" t="s">
        <v>24</v>
      </c>
      <c r="D2" s="3" t="s">
        <v>25</v>
      </c>
      <c r="E2" s="4"/>
      <c r="F2" s="4" t="s">
        <v>18</v>
      </c>
      <c r="G2" s="4" t="s">
        <v>19</v>
      </c>
      <c r="H2" s="4" t="s">
        <v>20</v>
      </c>
    </row>
    <row r="3" spans="1:8" ht="15.6" x14ac:dyDescent="0.3">
      <c r="A3" s="5" t="s">
        <v>3</v>
      </c>
      <c r="B3" s="6">
        <v>222</v>
      </c>
      <c r="C3" s="6">
        <v>425</v>
      </c>
      <c r="D3" s="6">
        <v>325</v>
      </c>
      <c r="E3" s="7"/>
      <c r="F3" s="7">
        <f>AVERAGE(B3:D3)</f>
        <v>324</v>
      </c>
      <c r="G3" s="7">
        <f>MAX(B3:D3)</f>
        <v>425</v>
      </c>
      <c r="H3" s="7">
        <f>MIN(B3:D3)</f>
        <v>222</v>
      </c>
    </row>
    <row r="4" spans="1:8" ht="15.6" x14ac:dyDescent="0.3">
      <c r="A4" s="5" t="s">
        <v>4</v>
      </c>
      <c r="B4" s="6">
        <v>125</v>
      </c>
      <c r="C4" s="6">
        <v>458</v>
      </c>
      <c r="D4" s="6">
        <v>478</v>
      </c>
      <c r="E4" s="7"/>
      <c r="F4" s="7">
        <f t="shared" ref="F4:F15" si="0">AVERAGE(B4:D4)</f>
        <v>353.66666666666669</v>
      </c>
      <c r="G4" s="7">
        <f t="shared" ref="G4:G15" si="1">MAX(B4:D4)</f>
        <v>478</v>
      </c>
      <c r="H4" s="7">
        <f t="shared" ref="H4:H15" si="2">MIN(B4:D4)</f>
        <v>125</v>
      </c>
    </row>
    <row r="5" spans="1:8" ht="15.6" x14ac:dyDescent="0.3">
      <c r="A5" s="5" t="s">
        <v>5</v>
      </c>
      <c r="B5" s="6">
        <v>544</v>
      </c>
      <c r="C5" s="6">
        <v>815</v>
      </c>
      <c r="D5" s="6">
        <v>254</v>
      </c>
      <c r="E5" s="7"/>
      <c r="F5" s="7">
        <f t="shared" si="0"/>
        <v>537.66666666666663</v>
      </c>
      <c r="G5" s="7">
        <f t="shared" si="1"/>
        <v>815</v>
      </c>
      <c r="H5" s="7">
        <f t="shared" si="2"/>
        <v>254</v>
      </c>
    </row>
    <row r="6" spans="1:8" ht="15.6" x14ac:dyDescent="0.3">
      <c r="A6" s="5" t="s">
        <v>6</v>
      </c>
      <c r="B6" s="6">
        <v>126</v>
      </c>
      <c r="C6" s="6">
        <v>525</v>
      </c>
      <c r="D6" s="6">
        <v>1108</v>
      </c>
      <c r="E6" s="7"/>
      <c r="F6" s="7">
        <f t="shared" si="0"/>
        <v>586.33333333333337</v>
      </c>
      <c r="G6" s="7">
        <f t="shared" si="1"/>
        <v>1108</v>
      </c>
      <c r="H6" s="7">
        <f t="shared" si="2"/>
        <v>126</v>
      </c>
    </row>
    <row r="7" spans="1:8" ht="15.6" x14ac:dyDescent="0.3">
      <c r="A7" s="5" t="s">
        <v>7</v>
      </c>
      <c r="B7" s="6">
        <v>88</v>
      </c>
      <c r="C7" s="6">
        <v>741</v>
      </c>
      <c r="D7" s="6">
        <v>845</v>
      </c>
      <c r="E7" s="7"/>
      <c r="F7" s="7">
        <f t="shared" si="0"/>
        <v>558</v>
      </c>
      <c r="G7" s="7">
        <f t="shared" si="1"/>
        <v>845</v>
      </c>
      <c r="H7" s="7">
        <f t="shared" si="2"/>
        <v>88</v>
      </c>
    </row>
    <row r="8" spans="1:8" ht="15.6" x14ac:dyDescent="0.3">
      <c r="A8" s="5" t="s">
        <v>8</v>
      </c>
      <c r="B8" s="6">
        <v>99</v>
      </c>
      <c r="C8" s="6">
        <v>258</v>
      </c>
      <c r="D8" s="6">
        <v>125</v>
      </c>
      <c r="E8" s="7"/>
      <c r="F8" s="7">
        <f t="shared" si="0"/>
        <v>160.66666666666666</v>
      </c>
      <c r="G8" s="7">
        <f t="shared" si="1"/>
        <v>258</v>
      </c>
      <c r="H8" s="7">
        <f t="shared" si="2"/>
        <v>99</v>
      </c>
    </row>
    <row r="9" spans="1:8" ht="15.6" x14ac:dyDescent="0.3">
      <c r="A9" s="5" t="s">
        <v>9</v>
      </c>
      <c r="B9" s="6">
        <v>422</v>
      </c>
      <c r="C9" s="6">
        <v>264</v>
      </c>
      <c r="D9" s="6">
        <v>651</v>
      </c>
      <c r="E9" s="7"/>
      <c r="F9" s="7">
        <f t="shared" si="0"/>
        <v>445.66666666666669</v>
      </c>
      <c r="G9" s="7">
        <f t="shared" si="1"/>
        <v>651</v>
      </c>
      <c r="H9" s="7">
        <f t="shared" si="2"/>
        <v>264</v>
      </c>
    </row>
    <row r="10" spans="1:8" ht="15.6" x14ac:dyDescent="0.3">
      <c r="A10" s="5" t="s">
        <v>10</v>
      </c>
      <c r="B10" s="6">
        <v>355</v>
      </c>
      <c r="C10" s="6">
        <v>951</v>
      </c>
      <c r="D10" s="6">
        <v>245</v>
      </c>
      <c r="E10" s="7"/>
      <c r="F10" s="7">
        <f t="shared" si="0"/>
        <v>517</v>
      </c>
      <c r="G10" s="7">
        <f t="shared" si="1"/>
        <v>951</v>
      </c>
      <c r="H10" s="7">
        <f t="shared" si="2"/>
        <v>245</v>
      </c>
    </row>
    <row r="11" spans="1:8" ht="15.6" x14ac:dyDescent="0.3">
      <c r="A11" s="5" t="s">
        <v>11</v>
      </c>
      <c r="B11" s="6">
        <v>989</v>
      </c>
      <c r="C11" s="6">
        <v>758</v>
      </c>
      <c r="D11" s="6">
        <v>1117</v>
      </c>
      <c r="E11" s="7"/>
      <c r="F11" s="7">
        <f t="shared" si="0"/>
        <v>954.66666666666663</v>
      </c>
      <c r="G11" s="7">
        <f t="shared" si="1"/>
        <v>1117</v>
      </c>
      <c r="H11" s="7">
        <f t="shared" si="2"/>
        <v>758</v>
      </c>
    </row>
    <row r="12" spans="1:8" ht="15.6" x14ac:dyDescent="0.3">
      <c r="A12" s="5" t="s">
        <v>12</v>
      </c>
      <c r="B12" s="6">
        <v>762</v>
      </c>
      <c r="C12" s="6">
        <v>812</v>
      </c>
      <c r="D12" s="6">
        <v>945</v>
      </c>
      <c r="E12" s="7"/>
      <c r="F12" s="7">
        <f t="shared" si="0"/>
        <v>839.66666666666663</v>
      </c>
      <c r="G12" s="7">
        <f t="shared" si="1"/>
        <v>945</v>
      </c>
      <c r="H12" s="7">
        <f t="shared" si="2"/>
        <v>762</v>
      </c>
    </row>
    <row r="13" spans="1:8" ht="15.6" x14ac:dyDescent="0.3">
      <c r="A13" s="5" t="s">
        <v>13</v>
      </c>
      <c r="B13" s="6">
        <v>1014</v>
      </c>
      <c r="C13" s="6">
        <v>887</v>
      </c>
      <c r="D13" s="6">
        <v>1078</v>
      </c>
      <c r="E13" s="7"/>
      <c r="F13" s="7">
        <f t="shared" si="0"/>
        <v>993</v>
      </c>
      <c r="G13" s="7">
        <f t="shared" si="1"/>
        <v>1078</v>
      </c>
      <c r="H13" s="7">
        <f t="shared" si="2"/>
        <v>887</v>
      </c>
    </row>
    <row r="14" spans="1:8" ht="15.6" x14ac:dyDescent="0.3">
      <c r="A14" s="5" t="s">
        <v>14</v>
      </c>
      <c r="B14" s="6">
        <v>92</v>
      </c>
      <c r="C14" s="6">
        <v>555</v>
      </c>
      <c r="D14" s="6">
        <v>326</v>
      </c>
      <c r="E14" s="7"/>
      <c r="F14" s="7">
        <f t="shared" si="0"/>
        <v>324.33333333333331</v>
      </c>
      <c r="G14" s="7">
        <f t="shared" si="1"/>
        <v>555</v>
      </c>
      <c r="H14" s="7">
        <f t="shared" si="2"/>
        <v>92</v>
      </c>
    </row>
    <row r="15" spans="1:8" ht="15.6" x14ac:dyDescent="0.3">
      <c r="A15" s="5" t="s">
        <v>15</v>
      </c>
      <c r="B15" s="6">
        <v>213</v>
      </c>
      <c r="C15" s="6">
        <v>328</v>
      </c>
      <c r="D15" s="6">
        <v>475</v>
      </c>
      <c r="E15" s="7"/>
      <c r="F15" s="7">
        <f t="shared" si="0"/>
        <v>338.66666666666669</v>
      </c>
      <c r="G15" s="7">
        <f t="shared" si="1"/>
        <v>475</v>
      </c>
      <c r="H15" s="7">
        <f t="shared" si="2"/>
        <v>213</v>
      </c>
    </row>
    <row r="16" spans="1:8" ht="15.6" x14ac:dyDescent="0.3">
      <c r="A16" s="7"/>
      <c r="B16" s="7"/>
      <c r="C16" s="7"/>
      <c r="D16" s="7"/>
      <c r="E16" s="7"/>
      <c r="F16" s="7"/>
      <c r="G16" s="7"/>
      <c r="H16" s="7"/>
    </row>
    <row r="17" spans="1:8" ht="15.6" x14ac:dyDescent="0.3">
      <c r="A17" s="8" t="s">
        <v>21</v>
      </c>
      <c r="B17" s="7">
        <f>SUM(B3:B15)</f>
        <v>5051</v>
      </c>
      <c r="C17" s="7">
        <f t="shared" ref="C17:D17" si="3">SUM(C3:C15)</f>
        <v>7777</v>
      </c>
      <c r="D17" s="7">
        <f t="shared" si="3"/>
        <v>7972</v>
      </c>
      <c r="E17" s="7"/>
      <c r="F17" s="7"/>
      <c r="G17" s="7"/>
      <c r="H17" s="7"/>
    </row>
  </sheetData>
  <mergeCells count="1">
    <mergeCell ref="A1:D1"/>
  </mergeCells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75DCD0B-4CA1-47CD-975C-E406ABE9A429}">
  <sheetPr codeName="Sheet3"/>
  <dimension ref="A1:H17"/>
  <sheetViews>
    <sheetView workbookViewId="0">
      <selection activeCell="D19" sqref="D19"/>
    </sheetView>
  </sheetViews>
  <sheetFormatPr defaultRowHeight="14.4" x14ac:dyDescent="0.3"/>
  <cols>
    <col min="1" max="1" width="21.6640625" customWidth="1"/>
    <col min="4" max="4" width="12.33203125" customWidth="1"/>
    <col min="7" max="7" width="10.88671875" customWidth="1"/>
  </cols>
  <sheetData>
    <row r="1" spans="1:8" ht="18" x14ac:dyDescent="0.35">
      <c r="A1" s="11" t="s">
        <v>26</v>
      </c>
      <c r="B1" s="11"/>
      <c r="C1" s="11"/>
      <c r="D1" s="11"/>
    </row>
    <row r="2" spans="1:8" ht="15.6" x14ac:dyDescent="0.3">
      <c r="A2" s="2" t="s">
        <v>16</v>
      </c>
      <c r="B2" s="3" t="s">
        <v>27</v>
      </c>
      <c r="C2" s="3" t="s">
        <v>28</v>
      </c>
      <c r="D2" s="3" t="s">
        <v>29</v>
      </c>
      <c r="E2" s="4"/>
      <c r="F2" s="4" t="s">
        <v>18</v>
      </c>
      <c r="G2" s="4" t="s">
        <v>19</v>
      </c>
      <c r="H2" s="4" t="s">
        <v>20</v>
      </c>
    </row>
    <row r="3" spans="1:8" ht="15.6" x14ac:dyDescent="0.3">
      <c r="A3" s="5" t="s">
        <v>3</v>
      </c>
      <c r="B3" s="6">
        <v>312</v>
      </c>
      <c r="C3" s="6">
        <v>441</v>
      </c>
      <c r="D3" s="6">
        <v>145</v>
      </c>
      <c r="E3" s="7"/>
      <c r="F3" s="7">
        <f>AVERAGE(B3:D3)</f>
        <v>299.33333333333331</v>
      </c>
      <c r="G3" s="7">
        <f>MAX(B3:D3)</f>
        <v>441</v>
      </c>
      <c r="H3" s="7">
        <f>MIN(B3:D3)</f>
        <v>145</v>
      </c>
    </row>
    <row r="4" spans="1:8" ht="15.6" x14ac:dyDescent="0.3">
      <c r="A4" s="5" t="s">
        <v>4</v>
      </c>
      <c r="B4" s="6">
        <v>215</v>
      </c>
      <c r="C4" s="6">
        <v>400</v>
      </c>
      <c r="D4" s="6">
        <v>211</v>
      </c>
      <c r="E4" s="7"/>
      <c r="F4" s="7">
        <f t="shared" ref="F4:F15" si="0">AVERAGE(B4:D4)</f>
        <v>275.33333333333331</v>
      </c>
      <c r="G4" s="7">
        <f t="shared" ref="G4:G15" si="1">MAX(B4:D4)</f>
        <v>400</v>
      </c>
      <c r="H4" s="7">
        <f t="shared" ref="H4:H15" si="2">MIN(B4:D4)</f>
        <v>211</v>
      </c>
    </row>
    <row r="5" spans="1:8" ht="15.6" x14ac:dyDescent="0.3">
      <c r="A5" s="5" t="s">
        <v>5</v>
      </c>
      <c r="B5" s="6">
        <v>445</v>
      </c>
      <c r="C5" s="6">
        <v>351</v>
      </c>
      <c r="D5" s="6">
        <v>112</v>
      </c>
      <c r="E5" s="7"/>
      <c r="F5" s="7">
        <f t="shared" si="0"/>
        <v>302.66666666666669</v>
      </c>
      <c r="G5" s="7">
        <f t="shared" si="1"/>
        <v>445</v>
      </c>
      <c r="H5" s="7">
        <f t="shared" si="2"/>
        <v>112</v>
      </c>
    </row>
    <row r="6" spans="1:8" ht="15.6" x14ac:dyDescent="0.3">
      <c r="A6" s="5" t="s">
        <v>6</v>
      </c>
      <c r="B6" s="6">
        <v>118</v>
      </c>
      <c r="C6" s="6">
        <v>518</v>
      </c>
      <c r="D6" s="6">
        <v>844</v>
      </c>
      <c r="E6" s="7"/>
      <c r="F6" s="7">
        <f t="shared" si="0"/>
        <v>493.33333333333331</v>
      </c>
      <c r="G6" s="7">
        <f t="shared" si="1"/>
        <v>844</v>
      </c>
      <c r="H6" s="7">
        <f t="shared" si="2"/>
        <v>118</v>
      </c>
    </row>
    <row r="7" spans="1:8" ht="15.6" x14ac:dyDescent="0.3">
      <c r="A7" s="5" t="s">
        <v>7</v>
      </c>
      <c r="B7" s="6">
        <v>245</v>
      </c>
      <c r="C7" s="6">
        <v>815</v>
      </c>
      <c r="D7" s="6">
        <v>741</v>
      </c>
      <c r="E7" s="7"/>
      <c r="F7" s="7">
        <f t="shared" si="0"/>
        <v>600.33333333333337</v>
      </c>
      <c r="G7" s="7">
        <f t="shared" si="1"/>
        <v>815</v>
      </c>
      <c r="H7" s="7">
        <f t="shared" si="2"/>
        <v>245</v>
      </c>
    </row>
    <row r="8" spans="1:8" ht="15.6" x14ac:dyDescent="0.3">
      <c r="A8" s="5" t="s">
        <v>8</v>
      </c>
      <c r="B8" s="6">
        <v>98</v>
      </c>
      <c r="C8" s="6">
        <v>252</v>
      </c>
      <c r="D8" s="6">
        <v>102</v>
      </c>
      <c r="E8" s="7"/>
      <c r="F8" s="7">
        <f t="shared" si="0"/>
        <v>150.66666666666666</v>
      </c>
      <c r="G8" s="7">
        <f t="shared" si="1"/>
        <v>252</v>
      </c>
      <c r="H8" s="7">
        <f t="shared" si="2"/>
        <v>98</v>
      </c>
    </row>
    <row r="9" spans="1:8" ht="15.6" x14ac:dyDescent="0.3">
      <c r="A9" s="5" t="s">
        <v>9</v>
      </c>
      <c r="B9" s="6">
        <v>422</v>
      </c>
      <c r="C9" s="6">
        <v>325</v>
      </c>
      <c r="D9" s="6">
        <v>357</v>
      </c>
      <c r="E9" s="7"/>
      <c r="F9" s="7">
        <f t="shared" si="0"/>
        <v>368</v>
      </c>
      <c r="G9" s="7">
        <f t="shared" si="1"/>
        <v>422</v>
      </c>
      <c r="H9" s="7">
        <f t="shared" si="2"/>
        <v>325</v>
      </c>
    </row>
    <row r="10" spans="1:8" ht="15.6" x14ac:dyDescent="0.3">
      <c r="A10" s="5" t="s">
        <v>10</v>
      </c>
      <c r="B10" s="6">
        <v>347</v>
      </c>
      <c r="C10" s="6">
        <v>999</v>
      </c>
      <c r="D10" s="6">
        <v>248</v>
      </c>
      <c r="E10" s="7"/>
      <c r="F10" s="7">
        <f t="shared" si="0"/>
        <v>531.33333333333337</v>
      </c>
      <c r="G10" s="7">
        <f t="shared" si="1"/>
        <v>999</v>
      </c>
      <c r="H10" s="7">
        <f t="shared" si="2"/>
        <v>248</v>
      </c>
    </row>
    <row r="11" spans="1:8" ht="15.6" x14ac:dyDescent="0.3">
      <c r="A11" s="5" t="s">
        <v>11</v>
      </c>
      <c r="B11" s="6">
        <v>898</v>
      </c>
      <c r="C11" s="6">
        <v>701</v>
      </c>
      <c r="D11" s="6">
        <v>984</v>
      </c>
      <c r="E11" s="7"/>
      <c r="F11" s="7">
        <f t="shared" si="0"/>
        <v>861</v>
      </c>
      <c r="G11" s="7">
        <f t="shared" si="1"/>
        <v>984</v>
      </c>
      <c r="H11" s="7">
        <f t="shared" si="2"/>
        <v>701</v>
      </c>
    </row>
    <row r="12" spans="1:8" ht="15.6" x14ac:dyDescent="0.3">
      <c r="A12" s="5" t="s">
        <v>12</v>
      </c>
      <c r="B12" s="6">
        <v>967</v>
      </c>
      <c r="C12" s="6">
        <v>845</v>
      </c>
      <c r="D12" s="6">
        <v>896</v>
      </c>
      <c r="E12" s="7"/>
      <c r="F12" s="7">
        <f t="shared" si="0"/>
        <v>902.66666666666663</v>
      </c>
      <c r="G12" s="7">
        <f t="shared" si="1"/>
        <v>967</v>
      </c>
      <c r="H12" s="7">
        <f t="shared" si="2"/>
        <v>845</v>
      </c>
    </row>
    <row r="13" spans="1:8" ht="15.6" x14ac:dyDescent="0.3">
      <c r="A13" s="5" t="s">
        <v>13</v>
      </c>
      <c r="B13" s="6">
        <v>1047</v>
      </c>
      <c r="C13" s="6">
        <v>358</v>
      </c>
      <c r="D13" s="6">
        <v>812</v>
      </c>
      <c r="E13" s="7"/>
      <c r="F13" s="7">
        <f t="shared" si="0"/>
        <v>739</v>
      </c>
      <c r="G13" s="7">
        <f t="shared" si="1"/>
        <v>1047</v>
      </c>
      <c r="H13" s="7">
        <f t="shared" si="2"/>
        <v>358</v>
      </c>
    </row>
    <row r="14" spans="1:8" ht="15.6" x14ac:dyDescent="0.3">
      <c r="A14" s="5" t="s">
        <v>14</v>
      </c>
      <c r="B14" s="6">
        <v>119</v>
      </c>
      <c r="C14" s="6">
        <v>547</v>
      </c>
      <c r="D14" s="6">
        <v>226</v>
      </c>
      <c r="E14" s="7"/>
      <c r="F14" s="7">
        <f t="shared" si="0"/>
        <v>297.33333333333331</v>
      </c>
      <c r="G14" s="7">
        <f t="shared" si="1"/>
        <v>547</v>
      </c>
      <c r="H14" s="7">
        <f t="shared" si="2"/>
        <v>119</v>
      </c>
    </row>
    <row r="15" spans="1:8" ht="15.6" x14ac:dyDescent="0.3">
      <c r="A15" s="5" t="s">
        <v>15</v>
      </c>
      <c r="B15" s="6">
        <v>100</v>
      </c>
      <c r="C15" s="6">
        <v>328</v>
      </c>
      <c r="D15" s="6">
        <v>148</v>
      </c>
      <c r="E15" s="7"/>
      <c r="F15" s="7">
        <f t="shared" si="0"/>
        <v>192</v>
      </c>
      <c r="G15" s="7">
        <f t="shared" si="1"/>
        <v>328</v>
      </c>
      <c r="H15" s="7">
        <f t="shared" si="2"/>
        <v>100</v>
      </c>
    </row>
    <row r="16" spans="1:8" ht="15.6" x14ac:dyDescent="0.3">
      <c r="A16" s="7"/>
      <c r="B16" s="7"/>
      <c r="C16" s="7"/>
      <c r="D16" s="7"/>
      <c r="E16" s="7"/>
      <c r="F16" s="7"/>
      <c r="G16" s="7"/>
      <c r="H16" s="7"/>
    </row>
    <row r="17" spans="1:8" ht="15.6" x14ac:dyDescent="0.3">
      <c r="A17" s="8" t="s">
        <v>21</v>
      </c>
      <c r="B17" s="7">
        <f>SUM(B3:B15)</f>
        <v>5333</v>
      </c>
      <c r="C17" s="7">
        <f t="shared" ref="C17:D17" si="3">SUM(C3:C15)</f>
        <v>6880</v>
      </c>
      <c r="D17" s="7">
        <f t="shared" si="3"/>
        <v>5826</v>
      </c>
      <c r="E17" s="7"/>
      <c r="F17" s="7"/>
      <c r="G17" s="7"/>
      <c r="H17" s="7"/>
    </row>
  </sheetData>
  <mergeCells count="1">
    <mergeCell ref="A1:D1"/>
  </mergeCells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A79CBA8-296F-4F73-9033-23534349C7AD}">
  <sheetPr codeName="Sheet4"/>
  <dimension ref="A1:H17"/>
  <sheetViews>
    <sheetView workbookViewId="0">
      <selection activeCell="E6" sqref="E6"/>
    </sheetView>
  </sheetViews>
  <sheetFormatPr defaultRowHeight="14.4" x14ac:dyDescent="0.3"/>
  <cols>
    <col min="1" max="1" width="31.5546875" customWidth="1"/>
    <col min="3" max="3" width="12.21875" customWidth="1"/>
    <col min="4" max="4" width="11.109375" customWidth="1"/>
    <col min="7" max="7" width="11.5546875" customWidth="1"/>
    <col min="8" max="8" width="10.44140625" customWidth="1"/>
  </cols>
  <sheetData>
    <row r="1" spans="1:8" ht="18" x14ac:dyDescent="0.35">
      <c r="A1" s="11" t="s">
        <v>33</v>
      </c>
      <c r="B1" s="11"/>
      <c r="C1" s="11"/>
      <c r="D1" s="11"/>
    </row>
    <row r="2" spans="1:8" ht="15.6" x14ac:dyDescent="0.3">
      <c r="A2" s="2" t="s">
        <v>16</v>
      </c>
      <c r="B2" s="3" t="s">
        <v>30</v>
      </c>
      <c r="C2" s="3" t="s">
        <v>31</v>
      </c>
      <c r="D2" s="3" t="s">
        <v>32</v>
      </c>
      <c r="E2" s="4"/>
      <c r="F2" s="4" t="s">
        <v>18</v>
      </c>
      <c r="G2" s="4" t="s">
        <v>19</v>
      </c>
      <c r="H2" s="4" t="s">
        <v>20</v>
      </c>
    </row>
    <row r="3" spans="1:8" ht="15.6" x14ac:dyDescent="0.3">
      <c r="A3" s="5" t="s">
        <v>3</v>
      </c>
      <c r="B3" s="6">
        <v>333</v>
      </c>
      <c r="C3" s="6">
        <v>325</v>
      </c>
      <c r="D3" s="6">
        <v>187</v>
      </c>
      <c r="E3" s="7"/>
      <c r="F3" s="7">
        <f>AVERAGE(B3:D3)</f>
        <v>281.66666666666669</v>
      </c>
      <c r="G3" s="7">
        <f>MAX(B3:D3)</f>
        <v>333</v>
      </c>
      <c r="H3" s="7">
        <f>MIN(B3:D3)</f>
        <v>187</v>
      </c>
    </row>
    <row r="4" spans="1:8" ht="15.6" x14ac:dyDescent="0.3">
      <c r="A4" s="5" t="s">
        <v>4</v>
      </c>
      <c r="B4" s="6">
        <v>248</v>
      </c>
      <c r="C4" s="6">
        <v>389</v>
      </c>
      <c r="D4" s="6">
        <v>244</v>
      </c>
      <c r="E4" s="7"/>
      <c r="F4" s="7">
        <f t="shared" ref="F4:F15" si="0">AVERAGE(B4:D4)</f>
        <v>293.66666666666669</v>
      </c>
      <c r="G4" s="7">
        <f t="shared" ref="G4:G15" si="1">MAX(B4:D4)</f>
        <v>389</v>
      </c>
      <c r="H4" s="7">
        <f t="shared" ref="H4:H15" si="2">MIN(B4:D4)</f>
        <v>244</v>
      </c>
    </row>
    <row r="5" spans="1:8" ht="15.6" x14ac:dyDescent="0.3">
      <c r="A5" s="5" t="s">
        <v>5</v>
      </c>
      <c r="B5" s="6">
        <v>514</v>
      </c>
      <c r="C5" s="6">
        <v>365</v>
      </c>
      <c r="D5" s="6">
        <v>158</v>
      </c>
      <c r="E5" s="7"/>
      <c r="F5" s="7">
        <f t="shared" si="0"/>
        <v>345.66666666666669</v>
      </c>
      <c r="G5" s="7">
        <f t="shared" si="1"/>
        <v>514</v>
      </c>
      <c r="H5" s="7">
        <f t="shared" si="2"/>
        <v>158</v>
      </c>
    </row>
    <row r="6" spans="1:8" ht="15.6" x14ac:dyDescent="0.3">
      <c r="A6" s="5" t="s">
        <v>6</v>
      </c>
      <c r="B6" s="6">
        <v>218</v>
      </c>
      <c r="C6" s="6">
        <v>458</v>
      </c>
      <c r="D6" s="6">
        <v>688</v>
      </c>
      <c r="E6" s="7"/>
      <c r="F6" s="7">
        <f t="shared" si="0"/>
        <v>454.66666666666669</v>
      </c>
      <c r="G6" s="7">
        <f t="shared" si="1"/>
        <v>688</v>
      </c>
      <c r="H6" s="7">
        <f t="shared" si="2"/>
        <v>218</v>
      </c>
    </row>
    <row r="7" spans="1:8" ht="15.6" x14ac:dyDescent="0.3">
      <c r="A7" s="5" t="s">
        <v>7</v>
      </c>
      <c r="B7" s="6">
        <v>201</v>
      </c>
      <c r="C7" s="6">
        <v>784</v>
      </c>
      <c r="D7" s="6">
        <v>847</v>
      </c>
      <c r="E7" s="7"/>
      <c r="F7" s="7">
        <f t="shared" si="0"/>
        <v>610.66666666666663</v>
      </c>
      <c r="G7" s="7">
        <f t="shared" si="1"/>
        <v>847</v>
      </c>
      <c r="H7" s="7">
        <f t="shared" si="2"/>
        <v>201</v>
      </c>
    </row>
    <row r="8" spans="1:8" ht="15.6" x14ac:dyDescent="0.3">
      <c r="A8" s="5" t="s">
        <v>8</v>
      </c>
      <c r="B8" s="6">
        <v>102</v>
      </c>
      <c r="C8" s="6">
        <v>215</v>
      </c>
      <c r="D8" s="6">
        <v>214</v>
      </c>
      <c r="E8" s="7"/>
      <c r="F8" s="7">
        <f t="shared" si="0"/>
        <v>177</v>
      </c>
      <c r="G8" s="7">
        <f t="shared" si="1"/>
        <v>215</v>
      </c>
      <c r="H8" s="7">
        <f t="shared" si="2"/>
        <v>102</v>
      </c>
    </row>
    <row r="9" spans="1:8" ht="15.6" x14ac:dyDescent="0.3">
      <c r="A9" s="5" t="s">
        <v>9</v>
      </c>
      <c r="B9" s="6">
        <v>389</v>
      </c>
      <c r="C9" s="6">
        <v>315</v>
      </c>
      <c r="D9" s="6">
        <v>457</v>
      </c>
      <c r="E9" s="7"/>
      <c r="F9" s="7">
        <f t="shared" si="0"/>
        <v>387</v>
      </c>
      <c r="G9" s="7">
        <f t="shared" si="1"/>
        <v>457</v>
      </c>
      <c r="H9" s="7">
        <f t="shared" si="2"/>
        <v>315</v>
      </c>
    </row>
    <row r="10" spans="1:8" ht="15.6" x14ac:dyDescent="0.3">
      <c r="A10" s="5" t="s">
        <v>10</v>
      </c>
      <c r="B10" s="6">
        <v>774</v>
      </c>
      <c r="C10" s="6">
        <v>859</v>
      </c>
      <c r="D10" s="6">
        <v>258</v>
      </c>
      <c r="E10" s="7"/>
      <c r="F10" s="7">
        <f t="shared" si="0"/>
        <v>630.33333333333337</v>
      </c>
      <c r="G10" s="7">
        <f t="shared" si="1"/>
        <v>859</v>
      </c>
      <c r="H10" s="7">
        <f t="shared" si="2"/>
        <v>258</v>
      </c>
    </row>
    <row r="11" spans="1:8" ht="15.6" x14ac:dyDescent="0.3">
      <c r="A11" s="5" t="s">
        <v>11</v>
      </c>
      <c r="B11" s="6">
        <v>951</v>
      </c>
      <c r="C11" s="6">
        <v>699</v>
      </c>
      <c r="D11" s="6">
        <v>1247</v>
      </c>
      <c r="E11" s="7"/>
      <c r="F11" s="7">
        <f t="shared" si="0"/>
        <v>965.66666666666663</v>
      </c>
      <c r="G11" s="7">
        <f t="shared" si="1"/>
        <v>1247</v>
      </c>
      <c r="H11" s="7">
        <f t="shared" si="2"/>
        <v>699</v>
      </c>
    </row>
    <row r="12" spans="1:8" ht="15.6" x14ac:dyDescent="0.3">
      <c r="A12" s="5" t="s">
        <v>12</v>
      </c>
      <c r="B12" s="6">
        <v>964</v>
      </c>
      <c r="C12" s="6">
        <v>744</v>
      </c>
      <c r="D12" s="6">
        <v>782</v>
      </c>
      <c r="E12" s="7"/>
      <c r="F12" s="7">
        <f t="shared" si="0"/>
        <v>830</v>
      </c>
      <c r="G12" s="7">
        <f t="shared" si="1"/>
        <v>964</v>
      </c>
      <c r="H12" s="7">
        <f t="shared" si="2"/>
        <v>744</v>
      </c>
    </row>
    <row r="13" spans="1:8" ht="15.6" x14ac:dyDescent="0.3">
      <c r="A13" s="5" t="s">
        <v>13</v>
      </c>
      <c r="B13" s="6">
        <v>1075</v>
      </c>
      <c r="C13" s="6">
        <v>258</v>
      </c>
      <c r="D13" s="6">
        <v>1580</v>
      </c>
      <c r="E13" s="7"/>
      <c r="F13" s="7">
        <f t="shared" si="0"/>
        <v>971</v>
      </c>
      <c r="G13" s="7">
        <f t="shared" si="1"/>
        <v>1580</v>
      </c>
      <c r="H13" s="7">
        <f t="shared" si="2"/>
        <v>258</v>
      </c>
    </row>
    <row r="14" spans="1:8" ht="15.6" x14ac:dyDescent="0.3">
      <c r="A14" s="5" t="s">
        <v>14</v>
      </c>
      <c r="B14" s="6">
        <v>246</v>
      </c>
      <c r="C14" s="6">
        <v>471</v>
      </c>
      <c r="D14" s="6">
        <v>248</v>
      </c>
      <c r="E14" s="7"/>
      <c r="F14" s="7">
        <f t="shared" si="0"/>
        <v>321.66666666666669</v>
      </c>
      <c r="G14" s="7">
        <f t="shared" si="1"/>
        <v>471</v>
      </c>
      <c r="H14" s="7">
        <f t="shared" si="2"/>
        <v>246</v>
      </c>
    </row>
    <row r="15" spans="1:8" ht="15.6" x14ac:dyDescent="0.3">
      <c r="A15" s="5" t="s">
        <v>15</v>
      </c>
      <c r="B15" s="6">
        <v>204</v>
      </c>
      <c r="C15" s="6">
        <v>258</v>
      </c>
      <c r="D15" s="6">
        <v>248</v>
      </c>
      <c r="E15" s="7"/>
      <c r="F15" s="7">
        <f t="shared" si="0"/>
        <v>236.66666666666666</v>
      </c>
      <c r="G15" s="7">
        <f t="shared" si="1"/>
        <v>258</v>
      </c>
      <c r="H15" s="7">
        <f t="shared" si="2"/>
        <v>204</v>
      </c>
    </row>
    <row r="16" spans="1:8" ht="15.6" x14ac:dyDescent="0.3">
      <c r="A16" s="7"/>
      <c r="B16" s="7"/>
      <c r="C16" s="7"/>
      <c r="D16" s="7"/>
      <c r="E16" s="7"/>
      <c r="F16" s="7"/>
      <c r="G16" s="7"/>
      <c r="H16" s="7"/>
    </row>
    <row r="17" spans="1:8" ht="15.6" x14ac:dyDescent="0.3">
      <c r="A17" s="8" t="s">
        <v>21</v>
      </c>
      <c r="B17" s="7">
        <f>SUM(B3:B15)</f>
        <v>6219</v>
      </c>
      <c r="C17" s="7">
        <f t="shared" ref="C17:D17" si="3">SUM(C3:C15)</f>
        <v>6140</v>
      </c>
      <c r="D17" s="7">
        <f t="shared" si="3"/>
        <v>7158</v>
      </c>
      <c r="E17" s="7"/>
      <c r="F17" s="7"/>
      <c r="G17" s="7"/>
      <c r="H17" s="7"/>
    </row>
  </sheetData>
  <mergeCells count="1">
    <mergeCell ref="A1:D1"/>
  </mergeCells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CBBBEBA-CC3D-4E94-9D18-20A764444FB3}">
  <sheetPr codeName="Sheet17"/>
  <dimension ref="A1:C85"/>
  <sheetViews>
    <sheetView tabSelected="1" workbookViewId="0"/>
  </sheetViews>
  <sheetFormatPr defaultRowHeight="14.4" x14ac:dyDescent="0.3"/>
  <cols>
    <col min="1" max="1" width="10.109375" bestFit="1" customWidth="1"/>
    <col min="2" max="2" width="17.88671875" bestFit="1" customWidth="1"/>
    <col min="3" max="3" width="12" bestFit="1" customWidth="1"/>
  </cols>
  <sheetData>
    <row r="1" spans="1:3" x14ac:dyDescent="0.3">
      <c r="A1" s="10" t="s">
        <v>76</v>
      </c>
      <c r="B1" s="10" t="s">
        <v>77</v>
      </c>
      <c r="C1" s="10" t="s">
        <v>78</v>
      </c>
    </row>
    <row r="2" spans="1:3" x14ac:dyDescent="0.3">
      <c r="A2" t="s">
        <v>79</v>
      </c>
      <c r="B2" s="9" t="s">
        <v>34</v>
      </c>
      <c r="C2">
        <v>296</v>
      </c>
    </row>
    <row r="3" spans="1:3" x14ac:dyDescent="0.3">
      <c r="A3" t="s">
        <v>79</v>
      </c>
      <c r="B3" s="9" t="s">
        <v>35</v>
      </c>
      <c r="C3">
        <v>412</v>
      </c>
    </row>
    <row r="4" spans="1:3" x14ac:dyDescent="0.3">
      <c r="A4" t="s">
        <v>79</v>
      </c>
      <c r="B4" s="9" t="s">
        <v>36</v>
      </c>
      <c r="C4">
        <v>148</v>
      </c>
    </row>
    <row r="5" spans="1:3" x14ac:dyDescent="0.3">
      <c r="A5" t="s">
        <v>79</v>
      </c>
      <c r="B5" s="9" t="s">
        <v>37</v>
      </c>
      <c r="C5">
        <v>334</v>
      </c>
    </row>
    <row r="6" spans="1:3" x14ac:dyDescent="0.3">
      <c r="A6" t="s">
        <v>79</v>
      </c>
      <c r="B6" s="9" t="s">
        <v>38</v>
      </c>
      <c r="C6">
        <v>411</v>
      </c>
    </row>
    <row r="7" spans="1:3" x14ac:dyDescent="0.3">
      <c r="A7" t="s">
        <v>79</v>
      </c>
      <c r="B7" s="9" t="s">
        <v>39</v>
      </c>
      <c r="C7">
        <v>222</v>
      </c>
    </row>
    <row r="8" spans="1:3" x14ac:dyDescent="0.3">
      <c r="A8" t="s">
        <v>79</v>
      </c>
      <c r="B8" s="9" t="s">
        <v>40</v>
      </c>
      <c r="C8">
        <v>388</v>
      </c>
    </row>
    <row r="9" spans="1:3" x14ac:dyDescent="0.3">
      <c r="A9" t="s">
        <v>79</v>
      </c>
      <c r="B9" s="9" t="s">
        <v>41</v>
      </c>
      <c r="C9">
        <v>528</v>
      </c>
    </row>
    <row r="10" spans="1:3" x14ac:dyDescent="0.3">
      <c r="A10" t="s">
        <v>79</v>
      </c>
      <c r="B10" s="9" t="s">
        <v>42</v>
      </c>
      <c r="C10">
        <v>224</v>
      </c>
    </row>
    <row r="11" spans="1:3" x14ac:dyDescent="0.3">
      <c r="A11" t="s">
        <v>79</v>
      </c>
      <c r="B11" s="9" t="s">
        <v>43</v>
      </c>
      <c r="C11">
        <v>386.66666666666669</v>
      </c>
    </row>
    <row r="12" spans="1:3" x14ac:dyDescent="0.3">
      <c r="A12" t="s">
        <v>79</v>
      </c>
      <c r="B12" s="9" t="s">
        <v>44</v>
      </c>
      <c r="C12">
        <v>954</v>
      </c>
    </row>
    <row r="13" spans="1:3" x14ac:dyDescent="0.3">
      <c r="A13" t="s">
        <v>79</v>
      </c>
      <c r="B13" s="9" t="s">
        <v>45</v>
      </c>
      <c r="C13">
        <v>78</v>
      </c>
    </row>
    <row r="14" spans="1:3" x14ac:dyDescent="0.3">
      <c r="A14" t="s">
        <v>79</v>
      </c>
      <c r="B14" s="9" t="s">
        <v>46</v>
      </c>
      <c r="C14">
        <v>196.66666666666666</v>
      </c>
    </row>
    <row r="15" spans="1:3" x14ac:dyDescent="0.3">
      <c r="A15" t="s">
        <v>79</v>
      </c>
      <c r="B15" s="9" t="s">
        <v>47</v>
      </c>
      <c r="C15">
        <v>327</v>
      </c>
    </row>
    <row r="16" spans="1:3" x14ac:dyDescent="0.3">
      <c r="A16" t="s">
        <v>79</v>
      </c>
      <c r="B16" s="9" t="s">
        <v>48</v>
      </c>
      <c r="C16">
        <v>48</v>
      </c>
    </row>
    <row r="17" spans="1:3" x14ac:dyDescent="0.3">
      <c r="A17" t="s">
        <v>79</v>
      </c>
      <c r="B17" s="9" t="s">
        <v>49</v>
      </c>
      <c r="C17">
        <v>123.33333333333333</v>
      </c>
    </row>
    <row r="18" spans="1:3" x14ac:dyDescent="0.3">
      <c r="A18" t="s">
        <v>79</v>
      </c>
      <c r="B18" s="9" t="s">
        <v>50</v>
      </c>
      <c r="C18">
        <v>214</v>
      </c>
    </row>
    <row r="19" spans="1:3" x14ac:dyDescent="0.3">
      <c r="A19" t="s">
        <v>79</v>
      </c>
      <c r="B19" s="9" t="s">
        <v>51</v>
      </c>
      <c r="C19">
        <v>58</v>
      </c>
    </row>
    <row r="20" spans="1:3" x14ac:dyDescent="0.3">
      <c r="A20" t="s">
        <v>79</v>
      </c>
      <c r="B20" s="9" t="s">
        <v>52</v>
      </c>
      <c r="C20">
        <v>364.66666666666669</v>
      </c>
    </row>
    <row r="21" spans="1:3" x14ac:dyDescent="0.3">
      <c r="A21" t="s">
        <v>79</v>
      </c>
      <c r="B21" s="9" t="s">
        <v>53</v>
      </c>
      <c r="C21">
        <v>512</v>
      </c>
    </row>
    <row r="22" spans="1:3" x14ac:dyDescent="0.3">
      <c r="A22" t="s">
        <v>79</v>
      </c>
      <c r="B22" s="9" t="s">
        <v>54</v>
      </c>
      <c r="C22">
        <v>257</v>
      </c>
    </row>
    <row r="23" spans="1:3" x14ac:dyDescent="0.3">
      <c r="A23" t="s">
        <v>79</v>
      </c>
      <c r="B23" s="9" t="s">
        <v>55</v>
      </c>
      <c r="C23">
        <v>454.66666666666669</v>
      </c>
    </row>
    <row r="24" spans="1:3" x14ac:dyDescent="0.3">
      <c r="A24" t="s">
        <v>79</v>
      </c>
      <c r="B24" s="9" t="s">
        <v>56</v>
      </c>
      <c r="C24">
        <v>928</v>
      </c>
    </row>
    <row r="25" spans="1:3" x14ac:dyDescent="0.3">
      <c r="A25" t="s">
        <v>79</v>
      </c>
      <c r="B25" s="9" t="s">
        <v>57</v>
      </c>
      <c r="C25">
        <v>122</v>
      </c>
    </row>
    <row r="26" spans="1:3" x14ac:dyDescent="0.3">
      <c r="A26" t="s">
        <v>79</v>
      </c>
      <c r="B26" s="9" t="s">
        <v>58</v>
      </c>
      <c r="C26">
        <v>980.33333333333337</v>
      </c>
    </row>
    <row r="27" spans="1:3" x14ac:dyDescent="0.3">
      <c r="A27" t="s">
        <v>79</v>
      </c>
      <c r="B27" s="9" t="s">
        <v>59</v>
      </c>
      <c r="C27">
        <v>1088</v>
      </c>
    </row>
    <row r="28" spans="1:3" x14ac:dyDescent="0.3">
      <c r="A28" t="s">
        <v>79</v>
      </c>
      <c r="B28" s="9" t="s">
        <v>60</v>
      </c>
      <c r="C28">
        <v>854</v>
      </c>
    </row>
    <row r="29" spans="1:3" x14ac:dyDescent="0.3">
      <c r="A29" t="s">
        <v>79</v>
      </c>
      <c r="B29" s="9" t="s">
        <v>61</v>
      </c>
      <c r="C29">
        <v>681.33333333333337</v>
      </c>
    </row>
    <row r="30" spans="1:3" x14ac:dyDescent="0.3">
      <c r="A30" t="s">
        <v>79</v>
      </c>
      <c r="B30" s="9" t="s">
        <v>62</v>
      </c>
      <c r="C30">
        <v>821</v>
      </c>
    </row>
    <row r="31" spans="1:3" x14ac:dyDescent="0.3">
      <c r="A31" t="s">
        <v>79</v>
      </c>
      <c r="B31" s="9" t="s">
        <v>63</v>
      </c>
      <c r="C31">
        <v>545</v>
      </c>
    </row>
    <row r="32" spans="1:3" x14ac:dyDescent="0.3">
      <c r="A32" t="s">
        <v>79</v>
      </c>
      <c r="B32" s="9" t="s">
        <v>64</v>
      </c>
      <c r="C32">
        <v>983.66666666666663</v>
      </c>
    </row>
    <row r="33" spans="1:3" x14ac:dyDescent="0.3">
      <c r="A33" t="s">
        <v>79</v>
      </c>
      <c r="B33" s="9" t="s">
        <v>65</v>
      </c>
      <c r="C33">
        <v>1077</v>
      </c>
    </row>
    <row r="34" spans="1:3" x14ac:dyDescent="0.3">
      <c r="A34" t="s">
        <v>79</v>
      </c>
      <c r="B34" s="9" t="s">
        <v>66</v>
      </c>
      <c r="C34">
        <v>888</v>
      </c>
    </row>
    <row r="35" spans="1:3" x14ac:dyDescent="0.3">
      <c r="A35" t="s">
        <v>79</v>
      </c>
      <c r="B35" s="9" t="s">
        <v>67</v>
      </c>
      <c r="C35">
        <v>402.33333333333331</v>
      </c>
    </row>
    <row r="36" spans="1:3" x14ac:dyDescent="0.3">
      <c r="A36" t="s">
        <v>79</v>
      </c>
      <c r="B36" s="9" t="s">
        <v>68</v>
      </c>
      <c r="C36">
        <v>562</v>
      </c>
    </row>
    <row r="37" spans="1:3" x14ac:dyDescent="0.3">
      <c r="A37" t="s">
        <v>79</v>
      </c>
      <c r="B37" s="9" t="s">
        <v>69</v>
      </c>
      <c r="C37">
        <v>222</v>
      </c>
    </row>
    <row r="38" spans="1:3" x14ac:dyDescent="0.3">
      <c r="A38" t="s">
        <v>79</v>
      </c>
      <c r="B38" s="9" t="s">
        <v>70</v>
      </c>
      <c r="C38">
        <v>225.33333333333334</v>
      </c>
    </row>
    <row r="39" spans="1:3" x14ac:dyDescent="0.3">
      <c r="A39" t="s">
        <v>79</v>
      </c>
      <c r="B39" s="9" t="s">
        <v>71</v>
      </c>
      <c r="C39">
        <v>328</v>
      </c>
    </row>
    <row r="40" spans="1:3" x14ac:dyDescent="0.3">
      <c r="A40" t="s">
        <v>79</v>
      </c>
      <c r="B40" s="9" t="s">
        <v>72</v>
      </c>
      <c r="C40">
        <v>123</v>
      </c>
    </row>
    <row r="41" spans="1:3" x14ac:dyDescent="0.3">
      <c r="A41" t="s">
        <v>79</v>
      </c>
      <c r="B41" s="9" t="s">
        <v>73</v>
      </c>
      <c r="C41">
        <v>4379</v>
      </c>
    </row>
    <row r="42" spans="1:3" x14ac:dyDescent="0.3">
      <c r="A42" t="s">
        <v>79</v>
      </c>
      <c r="B42" s="9" t="s">
        <v>74</v>
      </c>
      <c r="C42">
        <v>6257</v>
      </c>
    </row>
    <row r="43" spans="1:3" x14ac:dyDescent="0.3">
      <c r="A43" t="s">
        <v>79</v>
      </c>
      <c r="B43" s="9" t="s">
        <v>75</v>
      </c>
      <c r="C43">
        <v>6815</v>
      </c>
    </row>
    <row r="44" spans="1:3" x14ac:dyDescent="0.3">
      <c r="A44" t="s">
        <v>79</v>
      </c>
      <c r="B44" s="9" t="s">
        <v>34</v>
      </c>
      <c r="C44">
        <v>296</v>
      </c>
    </row>
    <row r="45" spans="1:3" x14ac:dyDescent="0.3">
      <c r="A45" t="s">
        <v>79</v>
      </c>
      <c r="B45" s="9" t="s">
        <v>35</v>
      </c>
      <c r="C45">
        <v>412</v>
      </c>
    </row>
    <row r="46" spans="1:3" x14ac:dyDescent="0.3">
      <c r="A46" t="s">
        <v>79</v>
      </c>
      <c r="B46" s="9" t="s">
        <v>36</v>
      </c>
      <c r="C46">
        <v>148</v>
      </c>
    </row>
    <row r="47" spans="1:3" x14ac:dyDescent="0.3">
      <c r="A47" t="s">
        <v>79</v>
      </c>
      <c r="B47" s="9" t="s">
        <v>37</v>
      </c>
      <c r="C47">
        <v>334</v>
      </c>
    </row>
    <row r="48" spans="1:3" x14ac:dyDescent="0.3">
      <c r="A48" t="s">
        <v>79</v>
      </c>
      <c r="B48" s="9" t="s">
        <v>38</v>
      </c>
      <c r="C48">
        <v>411</v>
      </c>
    </row>
    <row r="49" spans="1:3" x14ac:dyDescent="0.3">
      <c r="A49" t="s">
        <v>79</v>
      </c>
      <c r="B49" s="9" t="s">
        <v>39</v>
      </c>
      <c r="C49">
        <v>222</v>
      </c>
    </row>
    <row r="50" spans="1:3" x14ac:dyDescent="0.3">
      <c r="A50" t="s">
        <v>79</v>
      </c>
      <c r="B50" s="9" t="s">
        <v>40</v>
      </c>
      <c r="C50">
        <v>388</v>
      </c>
    </row>
    <row r="51" spans="1:3" x14ac:dyDescent="0.3">
      <c r="A51" t="s">
        <v>79</v>
      </c>
      <c r="B51" s="9" t="s">
        <v>41</v>
      </c>
      <c r="C51">
        <v>528</v>
      </c>
    </row>
    <row r="52" spans="1:3" x14ac:dyDescent="0.3">
      <c r="A52" t="s">
        <v>79</v>
      </c>
      <c r="B52" s="9" t="s">
        <v>42</v>
      </c>
      <c r="C52">
        <v>224</v>
      </c>
    </row>
    <row r="53" spans="1:3" x14ac:dyDescent="0.3">
      <c r="A53" t="s">
        <v>79</v>
      </c>
      <c r="B53" s="9" t="s">
        <v>43</v>
      </c>
      <c r="C53">
        <v>386.66666666666669</v>
      </c>
    </row>
    <row r="54" spans="1:3" x14ac:dyDescent="0.3">
      <c r="A54" t="s">
        <v>79</v>
      </c>
      <c r="B54" s="9" t="s">
        <v>44</v>
      </c>
      <c r="C54">
        <v>954</v>
      </c>
    </row>
    <row r="55" spans="1:3" x14ac:dyDescent="0.3">
      <c r="A55" t="s">
        <v>79</v>
      </c>
      <c r="B55" s="9" t="s">
        <v>45</v>
      </c>
      <c r="C55">
        <v>78</v>
      </c>
    </row>
    <row r="56" spans="1:3" x14ac:dyDescent="0.3">
      <c r="A56" t="s">
        <v>79</v>
      </c>
      <c r="B56" s="9" t="s">
        <v>46</v>
      </c>
      <c r="C56">
        <v>196.66666666666666</v>
      </c>
    </row>
    <row r="57" spans="1:3" x14ac:dyDescent="0.3">
      <c r="A57" t="s">
        <v>79</v>
      </c>
      <c r="B57" s="9" t="s">
        <v>47</v>
      </c>
      <c r="C57">
        <v>327</v>
      </c>
    </row>
    <row r="58" spans="1:3" x14ac:dyDescent="0.3">
      <c r="A58" t="s">
        <v>79</v>
      </c>
      <c r="B58" s="9" t="s">
        <v>48</v>
      </c>
      <c r="C58">
        <v>48</v>
      </c>
    </row>
    <row r="59" spans="1:3" x14ac:dyDescent="0.3">
      <c r="A59" t="s">
        <v>79</v>
      </c>
      <c r="B59" s="9" t="s">
        <v>49</v>
      </c>
      <c r="C59">
        <v>123.33333333333333</v>
      </c>
    </row>
    <row r="60" spans="1:3" x14ac:dyDescent="0.3">
      <c r="A60" t="s">
        <v>79</v>
      </c>
      <c r="B60" s="9" t="s">
        <v>50</v>
      </c>
      <c r="C60">
        <v>214</v>
      </c>
    </row>
    <row r="61" spans="1:3" x14ac:dyDescent="0.3">
      <c r="A61" t="s">
        <v>79</v>
      </c>
      <c r="B61" s="9" t="s">
        <v>51</v>
      </c>
      <c r="C61">
        <v>58</v>
      </c>
    </row>
    <row r="62" spans="1:3" x14ac:dyDescent="0.3">
      <c r="A62" t="s">
        <v>79</v>
      </c>
      <c r="B62" s="9" t="s">
        <v>52</v>
      </c>
      <c r="C62">
        <v>364.66666666666669</v>
      </c>
    </row>
    <row r="63" spans="1:3" x14ac:dyDescent="0.3">
      <c r="A63" t="s">
        <v>79</v>
      </c>
      <c r="B63" s="9" t="s">
        <v>53</v>
      </c>
      <c r="C63">
        <v>512</v>
      </c>
    </row>
    <row r="64" spans="1:3" x14ac:dyDescent="0.3">
      <c r="A64" t="s">
        <v>79</v>
      </c>
      <c r="B64" s="9" t="s">
        <v>54</v>
      </c>
      <c r="C64">
        <v>257</v>
      </c>
    </row>
    <row r="65" spans="1:3" x14ac:dyDescent="0.3">
      <c r="A65" t="s">
        <v>79</v>
      </c>
      <c r="B65" s="9" t="s">
        <v>55</v>
      </c>
      <c r="C65">
        <v>454.66666666666669</v>
      </c>
    </row>
    <row r="66" spans="1:3" x14ac:dyDescent="0.3">
      <c r="A66" t="s">
        <v>79</v>
      </c>
      <c r="B66" s="9" t="s">
        <v>56</v>
      </c>
      <c r="C66">
        <v>928</v>
      </c>
    </row>
    <row r="67" spans="1:3" x14ac:dyDescent="0.3">
      <c r="A67" t="s">
        <v>79</v>
      </c>
      <c r="B67" s="9" t="s">
        <v>57</v>
      </c>
      <c r="C67">
        <v>122</v>
      </c>
    </row>
    <row r="68" spans="1:3" x14ac:dyDescent="0.3">
      <c r="A68" t="s">
        <v>79</v>
      </c>
      <c r="B68" s="9" t="s">
        <v>58</v>
      </c>
      <c r="C68">
        <v>980.33333333333337</v>
      </c>
    </row>
    <row r="69" spans="1:3" x14ac:dyDescent="0.3">
      <c r="A69" t="s">
        <v>79</v>
      </c>
      <c r="B69" s="9" t="s">
        <v>59</v>
      </c>
      <c r="C69">
        <v>1088</v>
      </c>
    </row>
    <row r="70" spans="1:3" x14ac:dyDescent="0.3">
      <c r="A70" t="s">
        <v>79</v>
      </c>
      <c r="B70" s="9" t="s">
        <v>60</v>
      </c>
      <c r="C70">
        <v>854</v>
      </c>
    </row>
    <row r="71" spans="1:3" x14ac:dyDescent="0.3">
      <c r="A71" t="s">
        <v>79</v>
      </c>
      <c r="B71" s="9" t="s">
        <v>61</v>
      </c>
      <c r="C71">
        <v>681.33333333333337</v>
      </c>
    </row>
    <row r="72" spans="1:3" x14ac:dyDescent="0.3">
      <c r="A72" t="s">
        <v>79</v>
      </c>
      <c r="B72" s="9" t="s">
        <v>62</v>
      </c>
      <c r="C72">
        <v>821</v>
      </c>
    </row>
    <row r="73" spans="1:3" x14ac:dyDescent="0.3">
      <c r="A73" t="s">
        <v>79</v>
      </c>
      <c r="B73" s="9" t="s">
        <v>63</v>
      </c>
      <c r="C73">
        <v>545</v>
      </c>
    </row>
    <row r="74" spans="1:3" x14ac:dyDescent="0.3">
      <c r="A74" t="s">
        <v>79</v>
      </c>
      <c r="B74" s="9" t="s">
        <v>64</v>
      </c>
      <c r="C74">
        <v>983.66666666666663</v>
      </c>
    </row>
    <row r="75" spans="1:3" x14ac:dyDescent="0.3">
      <c r="A75" t="s">
        <v>79</v>
      </c>
      <c r="B75" s="9" t="s">
        <v>65</v>
      </c>
      <c r="C75">
        <v>1077</v>
      </c>
    </row>
    <row r="76" spans="1:3" x14ac:dyDescent="0.3">
      <c r="A76" t="s">
        <v>79</v>
      </c>
      <c r="B76" s="9" t="s">
        <v>66</v>
      </c>
      <c r="C76">
        <v>888</v>
      </c>
    </row>
    <row r="77" spans="1:3" x14ac:dyDescent="0.3">
      <c r="A77" t="s">
        <v>79</v>
      </c>
      <c r="B77" s="9" t="s">
        <v>67</v>
      </c>
      <c r="C77">
        <v>402.33333333333331</v>
      </c>
    </row>
    <row r="78" spans="1:3" x14ac:dyDescent="0.3">
      <c r="A78" t="s">
        <v>79</v>
      </c>
      <c r="B78" s="9" t="s">
        <v>68</v>
      </c>
      <c r="C78">
        <v>562</v>
      </c>
    </row>
    <row r="79" spans="1:3" x14ac:dyDescent="0.3">
      <c r="A79" t="s">
        <v>79</v>
      </c>
      <c r="B79" s="9" t="s">
        <v>69</v>
      </c>
      <c r="C79">
        <v>222</v>
      </c>
    </row>
    <row r="80" spans="1:3" x14ac:dyDescent="0.3">
      <c r="A80" t="s">
        <v>79</v>
      </c>
      <c r="B80" s="9" t="s">
        <v>70</v>
      </c>
      <c r="C80">
        <v>225.33333333333334</v>
      </c>
    </row>
    <row r="81" spans="1:3" x14ac:dyDescent="0.3">
      <c r="A81" t="s">
        <v>79</v>
      </c>
      <c r="B81" s="9" t="s">
        <v>71</v>
      </c>
      <c r="C81">
        <v>328</v>
      </c>
    </row>
    <row r="82" spans="1:3" x14ac:dyDescent="0.3">
      <c r="A82" t="s">
        <v>79</v>
      </c>
      <c r="B82" s="9" t="s">
        <v>72</v>
      </c>
      <c r="C82">
        <v>123</v>
      </c>
    </row>
    <row r="83" spans="1:3" x14ac:dyDescent="0.3">
      <c r="A83" t="s">
        <v>79</v>
      </c>
      <c r="B83" s="9" t="s">
        <v>73</v>
      </c>
      <c r="C83">
        <v>4379</v>
      </c>
    </row>
    <row r="84" spans="1:3" x14ac:dyDescent="0.3">
      <c r="A84" t="s">
        <v>79</v>
      </c>
      <c r="B84" s="9" t="s">
        <v>74</v>
      </c>
      <c r="C84">
        <v>6257</v>
      </c>
    </row>
    <row r="85" spans="1:3" x14ac:dyDescent="0.3">
      <c r="A85" t="s">
        <v>79</v>
      </c>
      <c r="B85" s="9" t="s">
        <v>75</v>
      </c>
      <c r="C85">
        <v>6815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5</vt:i4>
      </vt:variant>
    </vt:vector>
  </HeadingPairs>
  <TitlesOfParts>
    <vt:vector size="5" baseType="lpstr">
      <vt:lpstr>Quarter 1</vt:lpstr>
      <vt:lpstr>Quarter 2</vt:lpstr>
      <vt:lpstr>Quarter 3</vt:lpstr>
      <vt:lpstr>Quarter 4</vt:lpstr>
      <vt:lpstr>RF1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Heider Ali</dc:creator>
  <cp:lastModifiedBy>Tyler Wehrle</cp:lastModifiedBy>
  <dcterms:created xsi:type="dcterms:W3CDTF">2020-10-13T18:23:11Z</dcterms:created>
  <dcterms:modified xsi:type="dcterms:W3CDTF">2024-03-10T20:57:16Z</dcterms:modified>
</cp:coreProperties>
</file>